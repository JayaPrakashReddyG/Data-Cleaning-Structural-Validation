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over Page" sheetId="1" state="visible" r:id="rId3"/>
    <sheet name="Clean Data" sheetId="2" state="visible" r:id="rId4"/>
    <sheet name="Raw Data (Backup)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<sst xmlns="http://schemas.openxmlformats.org/spreadsheetml/2006/main" count="288" uniqueCount="140">
  <si>
    <t xml:space="preserve">Data Cleaning</t>
  </si>
  <si>
    <t xml:space="preserve">Get 10% OFF our course using coupon code EMAIL10</t>
  </si>
  <si>
    <t xml:space="preserve">Get Our Excel for Business &amp; Finance Course</t>
  </si>
  <si>
    <t xml:space="preserve">Made by Career Principles Ltd.</t>
  </si>
  <si>
    <t xml:space="preserve">Note</t>
  </si>
  <si>
    <t xml:space="preserve">All content is copyright material of Career Principles Ltd.</t>
  </si>
  <si>
    <t xml:space="preserve">This Excel model may not be reproduced or distributed by any means, including printing, 
screencapturing, or any other method without the prior permission of the publisher.</t>
  </si>
  <si>
    <t xml:space="preserve">Date</t>
  </si>
  <si>
    <t xml:space="preserve">Client</t>
  </si>
  <si>
    <t xml:space="preserve">Contact</t>
  </si>
  <si>
    <t xml:space="preserve">Department</t>
  </si>
  <si>
    <t xml:space="preserve">Region</t>
  </si>
  <si>
    <t xml:space="preserve">Payment</t>
  </si>
  <si>
    <t xml:space="preserve">Revenue</t>
  </si>
  <si>
    <t xml:space="preserve">Profit</t>
  </si>
  <si>
    <t xml:space="preserve">Profit Margin</t>
  </si>
  <si>
    <t xml:space="preserve">amazon.com, inc.</t>
  </si>
  <si>
    <t xml:space="preserve">Bill Smith</t>
  </si>
  <si>
    <t xml:space="preserve">Cloud Tech</t>
  </si>
  <si>
    <t xml:space="preserve">Texas</t>
  </si>
  <si>
    <t xml:space="preserve">Transfer</t>
  </si>
  <si>
    <t xml:space="preserve">tesla, inc.</t>
  </si>
  <si>
    <t xml:space="preserve">Ken Singh</t>
  </si>
  <si>
    <t xml:space="preserve">Strategy</t>
  </si>
  <si>
    <t xml:space="preserve">New York</t>
  </si>
  <si>
    <t xml:space="preserve">PayPal</t>
  </si>
  <si>
    <t xml:space="preserve">netflix, inc.</t>
  </si>
  <si>
    <t xml:space="preserve">Harley Fritz</t>
  </si>
  <si>
    <t xml:space="preserve">NA</t>
  </si>
  <si>
    <t xml:space="preserve">the procter &amp; gamble company</t>
  </si>
  <si>
    <t xml:space="preserve">Nyla Novak</t>
  </si>
  <si>
    <t xml:space="preserve">Operations</t>
  </si>
  <si>
    <t xml:space="preserve">Florida</t>
  </si>
  <si>
    <t xml:space="preserve">the goldman sachs group, inc.</t>
  </si>
  <si>
    <t xml:space="preserve">David Rasmussen</t>
  </si>
  <si>
    <t xml:space="preserve">Check</t>
  </si>
  <si>
    <t xml:space="preserve">jpmorgan chase &amp; co.</t>
  </si>
  <si>
    <t xml:space="preserve">Ivan Hiney</t>
  </si>
  <si>
    <t xml:space="preserve">morgan stanley</t>
  </si>
  <si>
    <t xml:space="preserve">Jonha Ma</t>
  </si>
  <si>
    <t xml:space="preserve">citigroup inc.</t>
  </si>
  <si>
    <t xml:space="preserve">Jordan Boone</t>
  </si>
  <si>
    <t xml:space="preserve">bank of america corporation</t>
  </si>
  <si>
    <t xml:space="preserve">Kylee Townsend</t>
  </si>
  <si>
    <t xml:space="preserve">Card</t>
  </si>
  <si>
    <t xml:space="preserve">walmart inc.</t>
  </si>
  <si>
    <t xml:space="preserve">Nora Rollins</t>
  </si>
  <si>
    <t xml:space="preserve">target corporation</t>
  </si>
  <si>
    <t xml:space="preserve">Brendan Wallace</t>
  </si>
  <si>
    <t xml:space="preserve">costco wholesale corporation</t>
  </si>
  <si>
    <t xml:space="preserve">Conor Wise</t>
  </si>
  <si>
    <t xml:space="preserve">mcdonald's corporation</t>
  </si>
  <si>
    <t xml:space="preserve">Steven Michael</t>
  </si>
  <si>
    <t xml:space="preserve">Big Data</t>
  </si>
  <si>
    <t xml:space="preserve">California</t>
  </si>
  <si>
    <t xml:space="preserve">exxon mobil corporation</t>
  </si>
  <si>
    <t xml:space="preserve">Lucia Mckay</t>
  </si>
  <si>
    <t xml:space="preserve">verizon communications inc.</t>
  </si>
  <si>
    <t xml:space="preserve">Jose Roach</t>
  </si>
  <si>
    <t xml:space="preserve">the home depot, inc.</t>
  </si>
  <si>
    <t xml:space="preserve">Franklin Wrigt</t>
  </si>
  <si>
    <t xml:space="preserve">cisco systems, inc.</t>
  </si>
  <si>
    <t xml:space="preserve">Alia Thornton</t>
  </si>
  <si>
    <t xml:space="preserve">chevron corporation</t>
  </si>
  <si>
    <t xml:space="preserve">Denzel Flores</t>
  </si>
  <si>
    <t xml:space="preserve">at&amp;t inc.</t>
  </si>
  <si>
    <t xml:space="preserve">Bruno Cordova</t>
  </si>
  <si>
    <t xml:space="preserve">intel corporation</t>
  </si>
  <si>
    <t xml:space="preserve">Jaylynn Napp</t>
  </si>
  <si>
    <t xml:space="preserve">general motors company</t>
  </si>
  <si>
    <t xml:space="preserve">Bruce Rich</t>
  </si>
  <si>
    <t xml:space="preserve">microsoft corporation</t>
  </si>
  <si>
    <t xml:space="preserve">Arturo Moore</t>
  </si>
  <si>
    <t xml:space="preserve">comcast corporation</t>
  </si>
  <si>
    <t xml:space="preserve">Bryce Carpenter</t>
  </si>
  <si>
    <t xml:space="preserve">dell technologies inc.</t>
  </si>
  <si>
    <t xml:space="preserve">Jaidyn Andersen</t>
  </si>
  <si>
    <t xml:space="preserve">johnson &amp; johnson</t>
  </si>
  <si>
    <t xml:space="preserve">Mark Walm</t>
  </si>
  <si>
    <t xml:space="preserve">fedex corporation</t>
  </si>
  <si>
    <t xml:space="preserve">Harry Lee</t>
  </si>
  <si>
    <t xml:space="preserve">general electric company</t>
  </si>
  <si>
    <t xml:space="preserve">Josh Johnson</t>
  </si>
  <si>
    <t xml:space="preserve">lockheed martin corporation</t>
  </si>
  <si>
    <t xml:space="preserve">Mik Naam</t>
  </si>
  <si>
    <t xml:space="preserve">AMAZON.COM, INC. (XNAS:AMZN)</t>
  </si>
  <si>
    <t xml:space="preserve">     Bill SmITH</t>
  </si>
  <si>
    <t xml:space="preserve">Cloud Tech_Texas</t>
  </si>
  <si>
    <t xml:space="preserve">TESLA, INC. (XNAS:TSLA)</t>
  </si>
  <si>
    <t xml:space="preserve">KEN Singh</t>
  </si>
  <si>
    <t xml:space="preserve">Strategy_New York</t>
  </si>
  <si>
    <t xml:space="preserve">NETFLIX, INC. (XNAS:NFLX)</t>
  </si>
  <si>
    <t xml:space="preserve">  Harley        Fritz</t>
  </si>
  <si>
    <t xml:space="preserve">THE PROCTER &amp; GAMBLE COMPANY (XNYS:PG)</t>
  </si>
  <si>
    <t xml:space="preserve">Operations_Florida</t>
  </si>
  <si>
    <t xml:space="preserve">THE GOLDMAN SACHS GROUP, INC. (XNYS:GS)</t>
  </si>
  <si>
    <t xml:space="preserve">David    Rasmussen</t>
  </si>
  <si>
    <t xml:space="preserve">JPMORGAN CHASE &amp; CO. (XNYS:JPM)</t>
  </si>
  <si>
    <t xml:space="preserve">IVAN HINEY</t>
  </si>
  <si>
    <t xml:space="preserve">MORGAN STANLEY (XNYS:MS)</t>
  </si>
  <si>
    <t xml:space="preserve">JONha Ma</t>
  </si>
  <si>
    <t xml:space="preserve">CITIGROUP INC. (XNYS:C)</t>
  </si>
  <si>
    <t xml:space="preserve">     Jordan Boone</t>
  </si>
  <si>
    <t xml:space="preserve">BANK OF AMERICA CORPORATION (XNYS:BAC)</t>
  </si>
  <si>
    <t xml:space="preserve">WALMART INC. (XNYS:WMT)</t>
  </si>
  <si>
    <t xml:space="preserve">TARGET CORPORATION (XNYS:TGT)</t>
  </si>
  <si>
    <t xml:space="preserve">BRENDAN Wallace</t>
  </si>
  <si>
    <t xml:space="preserve">COSTCO WHOLESALE CORPORATION (XNAS:COST)</t>
  </si>
  <si>
    <t xml:space="preserve">     Conor Wise</t>
  </si>
  <si>
    <t xml:space="preserve">MCDONALD'S CORPORATION (XNYS:MCD)</t>
  </si>
  <si>
    <t xml:space="preserve">Steven     MIChael</t>
  </si>
  <si>
    <t xml:space="preserve">Big Data_California</t>
  </si>
  <si>
    <t xml:space="preserve">EXXON MOBIL CORPORATION (XNYS:XOM)</t>
  </si>
  <si>
    <t xml:space="preserve">VERIZON COMMUNICATIONS INC. (XNYS:VZ)</t>
  </si>
  <si>
    <t xml:space="preserve">JoSE   Roach</t>
  </si>
  <si>
    <t xml:space="preserve">THE HOME DEPOT, INC. (XNYS:HD)</t>
  </si>
  <si>
    <t xml:space="preserve">Franklin WRIGT</t>
  </si>
  <si>
    <t xml:space="preserve">CISCO SYSTEMS, INC. (XNAS:CSCO)</t>
  </si>
  <si>
    <t xml:space="preserve">   Alia       Thornton</t>
  </si>
  <si>
    <t xml:space="preserve">CHEVRON CORPORATION (XNYS:CVX)</t>
  </si>
  <si>
    <t xml:space="preserve">Denzel        Flores</t>
  </si>
  <si>
    <t xml:space="preserve">AT&amp;T INC. (XNYS:T)</t>
  </si>
  <si>
    <t xml:space="preserve">Bruno CordOVA</t>
  </si>
  <si>
    <t xml:space="preserve">INTEL CORPORATION (XNAS:INTC)</t>
  </si>
  <si>
    <t xml:space="preserve">jaylynn   napp</t>
  </si>
  <si>
    <t xml:space="preserve">GENERAL MOTORS COMPANY (XNYS:GM)</t>
  </si>
  <si>
    <t xml:space="preserve">Bruce RICH</t>
  </si>
  <si>
    <t xml:space="preserve">MICROSOFT CORPORATION (XNAS:MSFT)</t>
  </si>
  <si>
    <t xml:space="preserve">     Arturo Moore</t>
  </si>
  <si>
    <t xml:space="preserve">COMCAST CORPORATION (XNAS:CMCSA)</t>
  </si>
  <si>
    <t xml:space="preserve">Bryce     Carpenter</t>
  </si>
  <si>
    <t xml:space="preserve">DELL TECHNOLOGIES INC. (XNYS:DELL)</t>
  </si>
  <si>
    <t xml:space="preserve">Jaidyn ANDERSEN</t>
  </si>
  <si>
    <t xml:space="preserve">JOHNSON &amp; JOHNSON (XNYS:JNJ)</t>
  </si>
  <si>
    <t xml:space="preserve">MARK WALM</t>
  </si>
  <si>
    <t xml:space="preserve">FEDEX CORPORATION (XNYS:FDX)</t>
  </si>
  <si>
    <t xml:space="preserve">HARRY LEE</t>
  </si>
  <si>
    <t xml:space="preserve">GENERAL ELECTRIC COMPANY (XNYS:GE)</t>
  </si>
  <si>
    <t xml:space="preserve">JOSH JOHNSON</t>
  </si>
  <si>
    <t xml:space="preserve">LOCKHEED MARTIN CORPORATION (XNYS:LMT)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</si>
</sst>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dd\-mmm\-yyyy"/>
    <numFmt numFmtId="166" formatCode="\$#,##0_);[RED]&quot;($&quot;#,##0\)"/>
    <numFmt numFmtId="167" formatCode="\$#,##0.00"/>
    <numFmt numFmtId="168" formatCode="0%"/>
    <numFmt numFmtId="169" formatCode="0.0%"/>
    <numFmt numFmtId="170" formatCode="m/d/yyyy"/>
  </numFmts>
  <fonts count="12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72"/>
      <color theme="1"/>
      <name val="Calibri"/>
      <family val="2"/>
      <charset val="1"/>
    </font>
    <font>
      <b val="true"/>
      <sz val="60"/>
      <color theme="1"/>
      <name val="Calibri"/>
      <family val="2"/>
      <charset val="1"/>
    </font>
    <font>
      <sz val="16"/>
      <color theme="1"/>
      <name val="Calibri"/>
      <family val="2"/>
      <charset val="1"/>
    </font>
    <font>
      <sz val="20"/>
      <color theme="10"/>
      <name val="Calibri"/>
      <family val="2"/>
      <charset val="1"/>
    </font>
    <font>
      <u val="single"/>
      <sz val="12"/>
      <color theme="10"/>
      <name val="Calibri"/>
      <family val="2"/>
      <charset val="1"/>
    </font>
    <font>
      <i val="true"/>
      <sz val="14"/>
      <color rgb="FF0432FF"/>
      <name val="Calibri"/>
      <family val="2"/>
      <charset val="1"/>
    </font>
    <font>
      <b val="true"/>
      <sz val="11"/>
      <color theme="1"/>
      <name val="Calibri"/>
      <family val="2"/>
      <charset val="1"/>
    </font>
    <font>
      <b val="true"/>
      <sz val="11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theme="4" tint="0.7999"/>
        <bgColor rgb="FFCCFFFF"/>
      </patternFill>
    </fill>
    <fill>
      <patternFill patternType="solid">
        <fgColor theme="7" tint="0.7999"/>
        <bgColor rgb="FFFFFFFF"/>
      </patternFill>
    </fill>
    <fill>
      <patternFill patternType="solid">
        <fgColor rgb="FF1F3864"/>
        <bgColor rgb="FF333333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theme="1"/>
      </left>
      <right/>
      <top style="thin">
        <color theme="1"/>
      </top>
      <bottom/>
      <diagonal/>
    </border>
    <border diagonalUp="false" diagonalDown="false">
      <left/>
      <right/>
      <top style="thin">
        <color theme="1"/>
      </top>
      <bottom/>
      <diagonal/>
    </border>
    <border diagonalUp="false" diagonalDown="false">
      <left/>
      <right style="thin">
        <color theme="1"/>
      </right>
      <top style="thin">
        <color theme="1"/>
      </top>
      <bottom/>
      <diagonal/>
    </border>
    <border diagonalUp="false" diagonalDown="false">
      <left style="thin">
        <color theme="1"/>
      </left>
      <right/>
      <top/>
      <bottom/>
      <diagonal/>
    </border>
    <border diagonalUp="false" diagonalDown="false">
      <left/>
      <right style="thin">
        <color theme="1"/>
      </right>
      <top/>
      <bottom/>
      <diagonal/>
    </border>
    <border diagonalUp="false" diagonalDown="false"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 diagonalUp="false" diagonalDown="false">
      <left/>
      <right/>
      <top/>
      <bottom style="thin">
        <color theme="1"/>
      </bottom>
      <diagonal/>
    </border>
    <border diagonalUp="false" diagonalDown="false">
      <left style="thin">
        <color theme="1"/>
      </left>
      <right/>
      <top/>
      <bottom style="thin">
        <color theme="1"/>
      </bottom>
      <diagonal/>
    </border>
    <border diagonalUp="false" diagonalDown="false">
      <left/>
      <right style="thin">
        <color theme="1"/>
      </right>
      <top/>
      <bottom style="thin">
        <color theme="1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6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0" fillId="0" borderId="0" xfId="19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9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0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432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563C1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hyperlink" Target="/xl/media/image1.png" TargetMode="External"/><Relationship Id="rId2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2208960</xdr:colOff>
      <xdr:row>3</xdr:row>
      <xdr:rowOff>50040</xdr:rowOff>
    </xdr:from>
    <xdr:to>
      <xdr:col>2</xdr:col>
      <xdr:colOff>5413320</xdr:colOff>
      <xdr:row>5</xdr:row>
      <xdr:rowOff>71280</xdr:rowOff>
    </xdr:to>
    <xdr:pic>
      <xdr:nvPicPr>
        <xdr:cNvPr id="0" name="Picture 5" descr="">
          <a:hlinkClick r:id="rId1"/>
        </xdr:cNvPr>
        <xdr:cNvPicPr/>
      </xdr:nvPicPr>
      <xdr:blipFill>
        <a:blip r:embed="rId2"/>
        <a:stretch/>
      </xdr:blipFill>
      <xdr:spPr>
        <a:xfrm>
          <a:off x="3695040" y="1612080"/>
          <a:ext cx="3204360" cy="110700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careerprinciples.com/courses/excel-for-business-finance" TargetMode="External"/><Relationship Id="rId2" Type="http://schemas.openxmlformats.org/officeDocument/2006/relationships/hyperlink" Target="https://www.youtube.com/c/KenjiExplains/featured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3:D16"/>
  <sheetViews>
    <sheetView showFormulas="false" showGridLines="fals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G6" activeCellId="0" sqref="G6"/>
    </sheetView>
  </sheetViews>
  <sheetFormatPr defaultColWidth="10.8359375" defaultRowHeight="15.75" zeroHeight="false" outlineLevelRow="0" outlineLevelCol="0"/>
  <cols>
    <col collapsed="false" customWidth="false" hidden="false" outlineLevel="0" max="1" min="1" style="1" width="10.83"/>
    <col collapsed="false" customWidth="true" hidden="false" outlineLevel="0" max="2" min="2" style="1" width="8.5"/>
    <col collapsed="false" customWidth="true" hidden="false" outlineLevel="0" max="3" min="3" style="1" width="102.66"/>
    <col collapsed="false" customWidth="true" hidden="false" outlineLevel="0" max="4" min="4" style="1" width="9.5"/>
    <col collapsed="false" customWidth="false" hidden="false" outlineLevel="0" max="16384" min="5" style="1" width="10.83"/>
  </cols>
  <sheetData>
    <row r="3" customFormat="false" ht="91.5" hidden="false" customHeight="true" outlineLevel="0" collapsed="false">
      <c r="B3" s="2"/>
      <c r="C3" s="3" t="s">
        <v>0</v>
      </c>
      <c r="D3" s="4"/>
    </row>
    <row r="4" customFormat="false" ht="54" hidden="false" customHeight="true" outlineLevel="0" collapsed="false">
      <c r="B4" s="5"/>
      <c r="C4" s="6"/>
      <c r="D4" s="7"/>
    </row>
    <row r="5" customFormat="false" ht="31.5" hidden="false" customHeight="true" outlineLevel="0" collapsed="false">
      <c r="B5" s="5"/>
      <c r="C5" s="6"/>
      <c r="D5" s="7"/>
    </row>
    <row r="6" customFormat="false" ht="15.75" hidden="false" customHeight="false" outlineLevel="0" collapsed="false">
      <c r="B6" s="5"/>
      <c r="D6" s="7"/>
    </row>
    <row r="7" customFormat="false" ht="21" hidden="false" customHeight="true" outlineLevel="0" collapsed="false">
      <c r="B7" s="5"/>
      <c r="C7" s="8" t="s">
        <v>1</v>
      </c>
      <c r="D7" s="7"/>
    </row>
    <row r="8" customFormat="false" ht="15.75" hidden="false" customHeight="false" outlineLevel="0" collapsed="false">
      <c r="B8" s="5"/>
      <c r="C8" s="9"/>
      <c r="D8" s="7"/>
    </row>
    <row r="9" s="10" customFormat="true" ht="25.5" hidden="false" customHeight="true" outlineLevel="0" collapsed="false">
      <c r="B9" s="11"/>
      <c r="C9" s="12" t="s">
        <v>2</v>
      </c>
      <c r="D9" s="13"/>
    </row>
    <row r="10" customFormat="false" ht="15.75" hidden="false" customHeight="false" outlineLevel="0" collapsed="false">
      <c r="B10" s="5"/>
      <c r="D10" s="7"/>
    </row>
    <row r="11" customFormat="false" ht="18.75" hidden="false" customHeight="true" outlineLevel="0" collapsed="false">
      <c r="B11" s="5"/>
      <c r="C11" s="14" t="s">
        <v>3</v>
      </c>
      <c r="D11" s="7"/>
    </row>
    <row r="12" customFormat="false" ht="15.75" hidden="false" customHeight="false" outlineLevel="0" collapsed="false">
      <c r="B12" s="5"/>
      <c r="D12" s="7"/>
    </row>
    <row r="13" customFormat="false" ht="15.75" hidden="false" customHeight="false" outlineLevel="0" collapsed="false">
      <c r="B13" s="5"/>
      <c r="C13" s="15" t="s">
        <v>4</v>
      </c>
      <c r="D13" s="7"/>
    </row>
    <row r="14" customFormat="false" ht="15.75" hidden="false" customHeight="false" outlineLevel="0" collapsed="false">
      <c r="B14" s="5"/>
      <c r="C14" s="1" t="s">
        <v>5</v>
      </c>
      <c r="D14" s="7"/>
    </row>
    <row r="15" customFormat="false" ht="33.75" hidden="false" customHeight="true" outlineLevel="0" collapsed="false">
      <c r="B15" s="5"/>
      <c r="C15" s="16" t="s">
        <v>6</v>
      </c>
      <c r="D15" s="7"/>
    </row>
    <row r="16" customFormat="false" ht="15.75" hidden="false" customHeight="false" outlineLevel="0" collapsed="false">
      <c r="B16" s="17"/>
      <c r="C16" s="18"/>
      <c r="D16" s="19"/>
    </row>
  </sheetData>
  <sheetProtection algorithmName="SHA-512" hashValue="/y2mTz/xl2A4D34DkMidPVwNI4DrYkhtIN6L235xja2+nlbDI7zdB5imsiD/9wA5fSobq4TcanXwmtLwmuj/vw==" saltValue="I3WeqbAWE1VcRN8JM3rkcA==" spinCount="100000" sheet="true" objects="true" scenarios="true"/>
  <hyperlinks>
    <hyperlink ref="C9" r:id="rId1" display="Get Our Excel for Business &amp; Finance Course"/>
    <hyperlink ref="C11" r:id="rId2" display="Made by Career Principles Ltd.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42"/>
  <sheetViews>
    <sheetView showFormulas="false" showGridLines="false" showRowColHeaders="true" showZeros="true" rightToLeft="false" tabSelected="true" showOutlineSymbols="true" defaultGridColor="true" view="normal" topLeftCell="A1" colorId="64" zoomScale="244" zoomScaleNormal="244" zoomScalePageLayoutView="100" workbookViewId="0">
      <selection pane="topLeft" activeCell="L1" activeCellId="0" sqref="L1"/>
    </sheetView>
  </sheetViews>
  <sheetFormatPr defaultColWidth="10.62109375" defaultRowHeight="15.75" zeroHeight="false" outlineLevelRow="0" outlineLevelCol="0"/>
  <cols>
    <col collapsed="false" customWidth="true" hidden="false" outlineLevel="0" max="1" min="1" style="0" width="6.66"/>
    <col collapsed="false" customWidth="true" hidden="false" outlineLevel="0" max="2" min="2" style="0" width="15"/>
    <col collapsed="false" customWidth="true" hidden="false" outlineLevel="0" max="3" min="3" style="0" width="33"/>
    <col collapsed="false" customWidth="true" hidden="false" outlineLevel="0" max="4" min="4" style="0" width="19"/>
    <col collapsed="false" customWidth="true" hidden="false" outlineLevel="0" max="6" min="5" style="0" width="14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0"/>
    <col collapsed="false" customWidth="true" hidden="false" outlineLevel="0" max="10" min="10" style="0" width="9"/>
  </cols>
  <sheetData>
    <row r="2" customFormat="false" ht="15.75" hidden="false" customHeight="false" outlineLevel="0" collapsed="false">
      <c r="B2" s="20" t="s">
        <v>7</v>
      </c>
      <c r="C2" s="20" t="s">
        <v>8</v>
      </c>
      <c r="D2" s="20" t="s">
        <v>9</v>
      </c>
      <c r="E2" s="20" t="s">
        <v>10</v>
      </c>
      <c r="F2" s="20" t="s">
        <v>11</v>
      </c>
      <c r="G2" s="20" t="s">
        <v>12</v>
      </c>
      <c r="H2" s="20" t="s">
        <v>13</v>
      </c>
      <c r="I2" s="20" t="s">
        <v>14</v>
      </c>
      <c r="J2" s="20" t="s">
        <v>15</v>
      </c>
    </row>
    <row r="3" customFormat="false" ht="15.75" hidden="false" customHeight="false" outlineLevel="0" collapsed="false">
      <c r="B3" s="21" t="n">
        <v>45076</v>
      </c>
      <c r="C3" s="9" t="s">
        <v>16</v>
      </c>
      <c r="D3" s="9" t="s">
        <v>17</v>
      </c>
      <c r="E3" s="9" t="s">
        <v>18</v>
      </c>
      <c r="F3" s="9" t="s">
        <v>19</v>
      </c>
      <c r="G3" s="22" t="s">
        <v>20</v>
      </c>
      <c r="H3" s="23" t="n">
        <v>4500</v>
      </c>
      <c r="I3" s="24" t="n">
        <v>598</v>
      </c>
      <c r="J3" s="25" t="n">
        <f aca="false">IFERROR(I3/H3,"NA")</f>
        <v>0.132888888888889</v>
      </c>
    </row>
    <row r="4" customFormat="false" ht="15.75" hidden="false" customHeight="false" outlineLevel="0" collapsed="false">
      <c r="B4" s="21" t="n">
        <v>45076</v>
      </c>
      <c r="C4" s="9" t="s">
        <v>21</v>
      </c>
      <c r="D4" s="9" t="s">
        <v>22</v>
      </c>
      <c r="E4" s="9" t="s">
        <v>23</v>
      </c>
      <c r="F4" s="9" t="s">
        <v>24</v>
      </c>
      <c r="G4" s="22" t="s">
        <v>25</v>
      </c>
      <c r="H4" s="23" t="n">
        <v>3800</v>
      </c>
      <c r="I4" s="24" t="n">
        <v>1045</v>
      </c>
      <c r="J4" s="25" t="n">
        <f aca="false">IFERROR(I4/H4,"NA")</f>
        <v>0.275</v>
      </c>
    </row>
    <row r="5" customFormat="false" ht="15.75" hidden="false" customHeight="false" outlineLevel="0" collapsed="false">
      <c r="B5" s="21" t="n">
        <v>45076</v>
      </c>
      <c r="C5" s="9" t="s">
        <v>26</v>
      </c>
      <c r="D5" s="9" t="s">
        <v>27</v>
      </c>
      <c r="E5" s="9" t="s">
        <v>23</v>
      </c>
      <c r="F5" s="9" t="s">
        <v>24</v>
      </c>
      <c r="G5" s="22" t="s">
        <v>28</v>
      </c>
      <c r="H5" s="23" t="n">
        <v>3712.5</v>
      </c>
      <c r="I5" s="24" t="n">
        <v>1009</v>
      </c>
      <c r="J5" s="25" t="n">
        <f aca="false">IFERROR(I5/H5,"NA")</f>
        <v>0.271784511784512</v>
      </c>
    </row>
    <row r="6" customFormat="false" ht="15.75" hidden="false" customHeight="false" outlineLevel="0" collapsed="false">
      <c r="B6" s="21" t="n">
        <v>45076</v>
      </c>
      <c r="C6" s="9" t="s">
        <v>29</v>
      </c>
      <c r="D6" s="9" t="s">
        <v>30</v>
      </c>
      <c r="E6" s="9" t="s">
        <v>31</v>
      </c>
      <c r="F6" s="9" t="s">
        <v>32</v>
      </c>
      <c r="G6" s="22" t="s">
        <v>28</v>
      </c>
      <c r="H6" s="23" t="s">
        <v>28</v>
      </c>
      <c r="I6" s="24" t="n">
        <v>779</v>
      </c>
      <c r="J6" s="25" t="str">
        <f aca="false">IFERROR(I6/H6,"NA")</f>
        <v>NA</v>
      </c>
    </row>
    <row r="7" customFormat="false" ht="15.75" hidden="false" customHeight="false" outlineLevel="0" collapsed="false">
      <c r="B7" s="21" t="n">
        <v>45076</v>
      </c>
      <c r="C7" s="9" t="s">
        <v>33</v>
      </c>
      <c r="D7" s="9" t="s">
        <v>34</v>
      </c>
      <c r="E7" s="9" t="s">
        <v>31</v>
      </c>
      <c r="F7" s="9" t="s">
        <v>32</v>
      </c>
      <c r="G7" s="22" t="s">
        <v>35</v>
      </c>
      <c r="H7" s="23" t="n">
        <v>5000</v>
      </c>
      <c r="I7" s="24" t="n">
        <v>684</v>
      </c>
      <c r="J7" s="25" t="n">
        <f aca="false">IFERROR(I7/H7,"NA")</f>
        <v>0.1368</v>
      </c>
    </row>
    <row r="8" customFormat="false" ht="15.75" hidden="false" customHeight="false" outlineLevel="0" collapsed="false">
      <c r="B8" s="21" t="n">
        <v>45077</v>
      </c>
      <c r="C8" s="9" t="s">
        <v>36</v>
      </c>
      <c r="D8" s="9" t="s">
        <v>37</v>
      </c>
      <c r="E8" s="9" t="s">
        <v>18</v>
      </c>
      <c r="F8" s="9" t="s">
        <v>19</v>
      </c>
      <c r="G8" s="22" t="s">
        <v>20</v>
      </c>
      <c r="H8" s="23" t="n">
        <v>6100</v>
      </c>
      <c r="I8" s="24" t="n">
        <v>544</v>
      </c>
      <c r="J8" s="25" t="n">
        <f aca="false">IFERROR(I8/H8,"NA")</f>
        <v>0.0891803278688525</v>
      </c>
    </row>
    <row r="9" customFormat="false" ht="15.75" hidden="false" customHeight="false" outlineLevel="0" collapsed="false">
      <c r="B9" s="21" t="n">
        <v>45077</v>
      </c>
      <c r="C9" s="9" t="s">
        <v>38</v>
      </c>
      <c r="D9" s="9" t="s">
        <v>39</v>
      </c>
      <c r="E9" s="9" t="s">
        <v>18</v>
      </c>
      <c r="F9" s="9" t="s">
        <v>19</v>
      </c>
      <c r="G9" s="22" t="s">
        <v>20</v>
      </c>
      <c r="H9" s="23" t="n">
        <v>4625</v>
      </c>
      <c r="I9" s="24" t="n">
        <v>670</v>
      </c>
      <c r="J9" s="25" t="n">
        <f aca="false">IFERROR(I9/H9,"NA")</f>
        <v>0.144864864864865</v>
      </c>
    </row>
    <row r="10" customFormat="false" ht="15.75" hidden="false" customHeight="false" outlineLevel="0" collapsed="false">
      <c r="B10" s="21" t="n">
        <v>45077</v>
      </c>
      <c r="C10" s="9" t="s">
        <v>40</v>
      </c>
      <c r="D10" s="9" t="s">
        <v>41</v>
      </c>
      <c r="E10" s="9" t="s">
        <v>18</v>
      </c>
      <c r="F10" s="9" t="s">
        <v>19</v>
      </c>
      <c r="G10" s="22" t="s">
        <v>20</v>
      </c>
      <c r="H10" s="23" t="n">
        <v>3800</v>
      </c>
      <c r="I10" s="24" t="n">
        <v>2045</v>
      </c>
      <c r="J10" s="25" t="n">
        <f aca="false">IFERROR(I10/H10,"NA")</f>
        <v>0.538157894736842</v>
      </c>
    </row>
    <row r="11" customFormat="false" ht="15.75" hidden="false" customHeight="false" outlineLevel="0" collapsed="false">
      <c r="B11" s="21" t="n">
        <v>45077</v>
      </c>
      <c r="C11" s="9" t="s">
        <v>42</v>
      </c>
      <c r="D11" s="9" t="s">
        <v>43</v>
      </c>
      <c r="E11" s="9" t="s">
        <v>18</v>
      </c>
      <c r="F11" s="9" t="s">
        <v>19</v>
      </c>
      <c r="G11" s="22" t="s">
        <v>44</v>
      </c>
      <c r="H11" s="23" t="n">
        <v>3600</v>
      </c>
      <c r="I11" s="24" t="n">
        <v>1564</v>
      </c>
      <c r="J11" s="25" t="n">
        <f aca="false">IFERROR(I11/H11,"NA")</f>
        <v>0.434444444444444</v>
      </c>
    </row>
    <row r="12" customFormat="false" ht="15.75" hidden="false" customHeight="false" outlineLevel="0" collapsed="false">
      <c r="B12" s="21" t="n">
        <v>45077</v>
      </c>
      <c r="C12" s="9" t="s">
        <v>45</v>
      </c>
      <c r="D12" s="9" t="s">
        <v>46</v>
      </c>
      <c r="E12" s="9" t="s">
        <v>18</v>
      </c>
      <c r="F12" s="9" t="s">
        <v>19</v>
      </c>
      <c r="G12" s="22" t="s">
        <v>35</v>
      </c>
      <c r="H12" s="23" t="n">
        <v>5100</v>
      </c>
      <c r="I12" s="24" t="n">
        <v>1220</v>
      </c>
      <c r="J12" s="25" t="n">
        <f aca="false">IFERROR(I12/H12,"NA")</f>
        <v>0.23921568627451</v>
      </c>
    </row>
    <row r="13" customFormat="false" ht="15.75" hidden="false" customHeight="false" outlineLevel="0" collapsed="false">
      <c r="B13" s="21" t="n">
        <v>45077</v>
      </c>
      <c r="C13" s="9" t="s">
        <v>47</v>
      </c>
      <c r="D13" s="9" t="s">
        <v>48</v>
      </c>
      <c r="E13" s="9" t="s">
        <v>18</v>
      </c>
      <c r="F13" s="9" t="s">
        <v>19</v>
      </c>
      <c r="G13" s="22" t="s">
        <v>35</v>
      </c>
      <c r="H13" s="23" t="n">
        <v>4750</v>
      </c>
      <c r="I13" s="24" t="n">
        <v>1435</v>
      </c>
      <c r="J13" s="25" t="n">
        <f aca="false">IFERROR(I13/H13,"NA")</f>
        <v>0.302105263157895</v>
      </c>
    </row>
    <row r="14" customFormat="false" ht="15.75" hidden="false" customHeight="false" outlineLevel="0" collapsed="false">
      <c r="B14" s="21" t="n">
        <v>45077</v>
      </c>
      <c r="C14" s="9" t="s">
        <v>49</v>
      </c>
      <c r="D14" s="9" t="s">
        <v>50</v>
      </c>
      <c r="E14" s="9" t="s">
        <v>31</v>
      </c>
      <c r="F14" s="9" t="s">
        <v>32</v>
      </c>
      <c r="G14" s="22" t="s">
        <v>20</v>
      </c>
      <c r="H14" s="23" t="n">
        <v>6000</v>
      </c>
      <c r="I14" s="24" t="n">
        <v>998</v>
      </c>
      <c r="J14" s="25" t="n">
        <f aca="false">IFERROR(I14/H14,"NA")</f>
        <v>0.166333333333333</v>
      </c>
    </row>
    <row r="15" customFormat="false" ht="15.75" hidden="false" customHeight="false" outlineLevel="0" collapsed="false">
      <c r="B15" s="21" t="n">
        <v>45077</v>
      </c>
      <c r="C15" s="9" t="s">
        <v>51</v>
      </c>
      <c r="D15" s="9" t="s">
        <v>52</v>
      </c>
      <c r="E15" s="9" t="s">
        <v>53</v>
      </c>
      <c r="F15" s="9" t="s">
        <v>54</v>
      </c>
      <c r="G15" s="22" t="s">
        <v>35</v>
      </c>
      <c r="H15" s="23" t="n">
        <v>4500</v>
      </c>
      <c r="I15" s="24" t="n">
        <v>780</v>
      </c>
      <c r="J15" s="25" t="n">
        <f aca="false">IFERROR(I15/H15,"NA")</f>
        <v>0.173333333333333</v>
      </c>
    </row>
    <row r="16" customFormat="false" ht="15.75" hidden="false" customHeight="false" outlineLevel="0" collapsed="false">
      <c r="B16" s="21" t="n">
        <v>45078</v>
      </c>
      <c r="C16" s="9" t="s">
        <v>55</v>
      </c>
      <c r="D16" s="9" t="s">
        <v>56</v>
      </c>
      <c r="E16" s="9" t="s">
        <v>53</v>
      </c>
      <c r="F16" s="9" t="s">
        <v>54</v>
      </c>
      <c r="G16" s="22" t="s">
        <v>44</v>
      </c>
      <c r="H16" s="23" t="s">
        <v>28</v>
      </c>
      <c r="I16" s="24" t="n">
        <v>1044</v>
      </c>
      <c r="J16" s="25" t="str">
        <f aca="false">IFERROR(I16/H16,"NA")</f>
        <v>NA</v>
      </c>
    </row>
    <row r="17" customFormat="false" ht="15.75" hidden="false" customHeight="false" outlineLevel="0" collapsed="false">
      <c r="B17" s="21" t="n">
        <v>45078</v>
      </c>
      <c r="C17" s="9" t="s">
        <v>57</v>
      </c>
      <c r="D17" s="9" t="s">
        <v>58</v>
      </c>
      <c r="E17" s="9" t="s">
        <v>53</v>
      </c>
      <c r="F17" s="9" t="s">
        <v>54</v>
      </c>
      <c r="G17" s="22" t="s">
        <v>20</v>
      </c>
      <c r="H17" s="23" t="n">
        <v>3712.5</v>
      </c>
      <c r="I17" s="24" t="n">
        <v>1222</v>
      </c>
      <c r="J17" s="25" t="n">
        <f aca="false">IFERROR(I17/H17,"NA")</f>
        <v>0.329158249158249</v>
      </c>
    </row>
    <row r="18" customFormat="false" ht="15.75" hidden="false" customHeight="false" outlineLevel="0" collapsed="false">
      <c r="B18" s="21" t="n">
        <v>45078</v>
      </c>
      <c r="C18" s="9" t="s">
        <v>59</v>
      </c>
      <c r="D18" s="9" t="s">
        <v>60</v>
      </c>
      <c r="E18" s="9" t="s">
        <v>53</v>
      </c>
      <c r="F18" s="9" t="s">
        <v>54</v>
      </c>
      <c r="G18" s="22" t="s">
        <v>20</v>
      </c>
      <c r="H18" s="23" t="n">
        <v>4950</v>
      </c>
      <c r="I18" s="24" t="n">
        <v>1065</v>
      </c>
      <c r="J18" s="25" t="n">
        <f aca="false">IFERROR(I18/H18,"NA")</f>
        <v>0.215151515151515</v>
      </c>
    </row>
    <row r="19" customFormat="false" ht="15.75" hidden="false" customHeight="false" outlineLevel="0" collapsed="false">
      <c r="B19" s="21" t="n">
        <v>45078</v>
      </c>
      <c r="C19" s="9" t="s">
        <v>61</v>
      </c>
      <c r="D19" s="9" t="s">
        <v>62</v>
      </c>
      <c r="E19" s="9" t="s">
        <v>31</v>
      </c>
      <c r="F19" s="9" t="s">
        <v>32</v>
      </c>
      <c r="G19" s="22" t="s">
        <v>20</v>
      </c>
      <c r="H19" s="23" t="n">
        <v>4750</v>
      </c>
      <c r="I19" s="24" t="n">
        <v>810</v>
      </c>
      <c r="J19" s="25" t="n">
        <f aca="false">IFERROR(I19/H19,"NA")</f>
        <v>0.170526315789474</v>
      </c>
    </row>
    <row r="20" customFormat="false" ht="15.75" hidden="false" customHeight="false" outlineLevel="0" collapsed="false">
      <c r="B20" s="21" t="n">
        <v>45078</v>
      </c>
      <c r="C20" s="9" t="s">
        <v>63</v>
      </c>
      <c r="D20" s="9" t="s">
        <v>64</v>
      </c>
      <c r="E20" s="9" t="s">
        <v>31</v>
      </c>
      <c r="F20" s="9" t="s">
        <v>32</v>
      </c>
      <c r="G20" s="22" t="s">
        <v>20</v>
      </c>
      <c r="H20" s="23" t="n">
        <v>7320</v>
      </c>
      <c r="I20" s="24" t="n">
        <v>933</v>
      </c>
      <c r="J20" s="25" t="n">
        <f aca="false">IFERROR(I20/H20,"NA")</f>
        <v>0.127459016393443</v>
      </c>
    </row>
    <row r="21" customFormat="false" ht="15.75" hidden="false" customHeight="false" outlineLevel="0" collapsed="false">
      <c r="B21" s="21" t="n">
        <v>45078</v>
      </c>
      <c r="C21" s="9" t="s">
        <v>65</v>
      </c>
      <c r="D21" s="9" t="s">
        <v>66</v>
      </c>
      <c r="E21" s="9" t="s">
        <v>53</v>
      </c>
      <c r="F21" s="9" t="s">
        <v>54</v>
      </c>
      <c r="G21" s="22" t="s">
        <v>20</v>
      </c>
      <c r="H21" s="23" t="n">
        <v>5087.5</v>
      </c>
      <c r="I21" s="24" t="n">
        <v>655</v>
      </c>
      <c r="J21" s="25" t="n">
        <f aca="false">IFERROR(I21/H21,"NA")</f>
        <v>0.128746928746929</v>
      </c>
    </row>
    <row r="22" customFormat="false" ht="15.75" hidden="false" customHeight="false" outlineLevel="0" collapsed="false">
      <c r="B22" s="21" t="n">
        <v>45078</v>
      </c>
      <c r="C22" s="9" t="s">
        <v>67</v>
      </c>
      <c r="D22" s="9" t="s">
        <v>68</v>
      </c>
      <c r="E22" s="9" t="s">
        <v>53</v>
      </c>
      <c r="F22" s="9" t="s">
        <v>54</v>
      </c>
      <c r="G22" s="22" t="s">
        <v>20</v>
      </c>
      <c r="H22" s="23" t="n">
        <v>4500</v>
      </c>
      <c r="I22" s="24" t="n">
        <v>722</v>
      </c>
      <c r="J22" s="25" t="n">
        <f aca="false">IFERROR(I22/H22,"NA")</f>
        <v>0.160444444444444</v>
      </c>
    </row>
    <row r="23" customFormat="false" ht="15.75" hidden="false" customHeight="false" outlineLevel="0" collapsed="false">
      <c r="B23" s="21" t="n">
        <v>45078</v>
      </c>
      <c r="C23" s="9" t="s">
        <v>69</v>
      </c>
      <c r="D23" s="9" t="s">
        <v>70</v>
      </c>
      <c r="E23" s="9" t="s">
        <v>53</v>
      </c>
      <c r="F23" s="9" t="s">
        <v>54</v>
      </c>
      <c r="G23" s="22" t="s">
        <v>44</v>
      </c>
      <c r="H23" s="23" t="n">
        <v>4250</v>
      </c>
      <c r="I23" s="24" t="n">
        <v>901</v>
      </c>
      <c r="J23" s="25" t="n">
        <f aca="false">IFERROR(I23/H23,"NA")</f>
        <v>0.212</v>
      </c>
    </row>
    <row r="24" customFormat="false" ht="15.75" hidden="false" customHeight="false" outlineLevel="0" collapsed="false">
      <c r="B24" s="21" t="n">
        <v>45079</v>
      </c>
      <c r="C24" s="9" t="s">
        <v>71</v>
      </c>
      <c r="D24" s="9" t="s">
        <v>72</v>
      </c>
      <c r="E24" s="9" t="s">
        <v>53</v>
      </c>
      <c r="F24" s="9" t="s">
        <v>54</v>
      </c>
      <c r="G24" s="22" t="s">
        <v>25</v>
      </c>
      <c r="H24" s="23" t="n">
        <v>5250</v>
      </c>
      <c r="I24" s="24" t="n">
        <v>1349</v>
      </c>
      <c r="J24" s="25" t="n">
        <f aca="false">IFERROR(I24/H24,"NA")</f>
        <v>0.256952380952381</v>
      </c>
    </row>
    <row r="25" customFormat="false" ht="15.75" hidden="false" customHeight="false" outlineLevel="0" collapsed="false">
      <c r="B25" s="21" t="n">
        <v>45079</v>
      </c>
      <c r="C25" s="9" t="s">
        <v>73</v>
      </c>
      <c r="D25" s="9" t="s">
        <v>74</v>
      </c>
      <c r="E25" s="9" t="s">
        <v>23</v>
      </c>
      <c r="F25" s="9" t="s">
        <v>24</v>
      </c>
      <c r="G25" s="22" t="s">
        <v>25</v>
      </c>
      <c r="H25" s="23" t="n">
        <v>6500</v>
      </c>
      <c r="I25" s="24" t="n">
        <v>1288</v>
      </c>
      <c r="J25" s="25" t="n">
        <f aca="false">IFERROR(I25/H25,"NA")</f>
        <v>0.198153846153846</v>
      </c>
    </row>
    <row r="26" customFormat="false" ht="15.75" hidden="false" customHeight="false" outlineLevel="0" collapsed="false">
      <c r="B26" s="21" t="n">
        <v>45079</v>
      </c>
      <c r="C26" s="9" t="s">
        <v>75</v>
      </c>
      <c r="D26" s="9" t="s">
        <v>76</v>
      </c>
      <c r="E26" s="9" t="s">
        <v>23</v>
      </c>
      <c r="F26" s="9" t="s">
        <v>24</v>
      </c>
      <c r="G26" s="22" t="s">
        <v>25</v>
      </c>
      <c r="H26" s="23" t="n">
        <v>7500</v>
      </c>
      <c r="I26" s="24" t="n">
        <v>1664</v>
      </c>
      <c r="J26" s="25" t="n">
        <f aca="false">IFERROR(I26/H26,"NA")</f>
        <v>0.221866666666667</v>
      </c>
    </row>
    <row r="27" customFormat="false" ht="15.75" hidden="false" customHeight="false" outlineLevel="0" collapsed="false">
      <c r="B27" s="21" t="n">
        <v>45079</v>
      </c>
      <c r="C27" s="9" t="s">
        <v>77</v>
      </c>
      <c r="D27" s="9" t="s">
        <v>78</v>
      </c>
      <c r="E27" s="9" t="s">
        <v>23</v>
      </c>
      <c r="F27" s="9" t="s">
        <v>24</v>
      </c>
      <c r="G27" s="22" t="s">
        <v>20</v>
      </c>
      <c r="H27" s="23" t="n">
        <v>5500</v>
      </c>
      <c r="I27" s="24" t="n">
        <v>1320</v>
      </c>
      <c r="J27" s="25" t="n">
        <f aca="false">IFERROR(I27/H27,"NA")</f>
        <v>0.24</v>
      </c>
    </row>
    <row r="28" customFormat="false" ht="15.75" hidden="false" customHeight="false" outlineLevel="0" collapsed="false">
      <c r="B28" s="21" t="n">
        <v>45079</v>
      </c>
      <c r="C28" s="9" t="s">
        <v>79</v>
      </c>
      <c r="D28" s="9" t="s">
        <v>80</v>
      </c>
      <c r="E28" s="9" t="s">
        <v>23</v>
      </c>
      <c r="F28" s="9" t="s">
        <v>24</v>
      </c>
      <c r="G28" s="22" t="s">
        <v>20</v>
      </c>
      <c r="H28" s="23" t="n">
        <v>4625</v>
      </c>
      <c r="I28" s="24" t="n">
        <v>1001</v>
      </c>
      <c r="J28" s="25" t="n">
        <f aca="false">IFERROR(I28/H28,"NA")</f>
        <v>0.216432432432432</v>
      </c>
    </row>
    <row r="29" customFormat="false" ht="15.75" hidden="false" customHeight="false" outlineLevel="0" collapsed="false">
      <c r="B29" s="21" t="n">
        <v>45079</v>
      </c>
      <c r="C29" s="9" t="s">
        <v>81</v>
      </c>
      <c r="D29" s="9" t="s">
        <v>82</v>
      </c>
      <c r="E29" s="9" t="s">
        <v>23</v>
      </c>
      <c r="F29" s="9" t="s">
        <v>24</v>
      </c>
      <c r="G29" s="22" t="s">
        <v>20</v>
      </c>
      <c r="H29" s="23" t="n">
        <v>4500</v>
      </c>
      <c r="I29" s="24" t="n">
        <v>960</v>
      </c>
      <c r="J29" s="25" t="n">
        <f aca="false">IFERROR(I29/H29,"NA")</f>
        <v>0.213333333333333</v>
      </c>
    </row>
    <row r="30" customFormat="false" ht="15.75" hidden="false" customHeight="false" outlineLevel="0" collapsed="false">
      <c r="B30" s="21" t="n">
        <v>45079</v>
      </c>
      <c r="C30" s="9" t="s">
        <v>83</v>
      </c>
      <c r="D30" s="9" t="s">
        <v>84</v>
      </c>
      <c r="E30" s="9" t="s">
        <v>23</v>
      </c>
      <c r="F30" s="9" t="s">
        <v>24</v>
      </c>
      <c r="G30" s="22" t="s">
        <v>44</v>
      </c>
      <c r="H30" s="23" t="n">
        <v>5400</v>
      </c>
      <c r="I30" s="24" t="n">
        <v>540</v>
      </c>
      <c r="J30" s="25" t="n">
        <f aca="false">IFERROR(I30/H30,"NA")</f>
        <v>0.1</v>
      </c>
    </row>
    <row r="31" customFormat="false" ht="15.75" hidden="false" customHeight="false" outlineLevel="0" collapsed="false">
      <c r="B31" s="26"/>
      <c r="G31" s="27"/>
      <c r="H31" s="27"/>
      <c r="I31" s="28"/>
    </row>
    <row r="32" customFormat="false" ht="15.75" hidden="false" customHeight="false" outlineLevel="0" collapsed="false">
      <c r="B32" s="26"/>
      <c r="G32" s="27"/>
      <c r="H32" s="27"/>
      <c r="I32" s="28"/>
    </row>
    <row r="33" customFormat="false" ht="15.75" hidden="false" customHeight="false" outlineLevel="0" collapsed="false">
      <c r="B33" s="26"/>
      <c r="G33" s="27"/>
      <c r="H33" s="27"/>
      <c r="I33" s="28"/>
    </row>
    <row r="34" customFormat="false" ht="15.75" hidden="false" customHeight="false" outlineLevel="0" collapsed="false">
      <c r="G34" s="27"/>
    </row>
    <row r="35" customFormat="false" ht="15.75" hidden="false" customHeight="false" outlineLevel="0" collapsed="false">
      <c r="G35" s="27"/>
    </row>
    <row r="36" customFormat="false" ht="15.75" hidden="false" customHeight="false" outlineLevel="0" collapsed="false">
      <c r="G36" s="27"/>
    </row>
    <row r="37" customFormat="false" ht="15.75" hidden="false" customHeight="false" outlineLevel="0" collapsed="false">
      <c r="G37" s="27"/>
    </row>
    <row r="38" customFormat="false" ht="15.75" hidden="false" customHeight="false" outlineLevel="0" collapsed="false">
      <c r="G38" s="27"/>
    </row>
    <row r="39" customFormat="false" ht="15.75" hidden="false" customHeight="false" outlineLevel="0" collapsed="false">
      <c r="G39" s="27"/>
    </row>
    <row r="40" customFormat="false" ht="15.75" hidden="false" customHeight="false" outlineLevel="0" collapsed="false">
      <c r="G40" s="27"/>
    </row>
    <row r="41" customFormat="false" ht="15.75" hidden="false" customHeight="false" outlineLevel="0" collapsed="false">
      <c r="G41" s="27"/>
    </row>
    <row r="42" customFormat="false" ht="15.75" hidden="false" customHeight="false" outlineLevel="0" collapsed="false">
      <c r="G42" s="2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0.62109375" defaultRowHeight="15.75" zeroHeight="false" outlineLevelRow="0" outlineLevelCol="0"/>
  <cols>
    <col collapsed="false" customWidth="true" hidden="false" outlineLevel="0" max="1" min="1" style="0" width="6.66"/>
    <col collapsed="false" customWidth="true" hidden="false" outlineLevel="0" max="2" min="2" style="0" width="7.16"/>
    <col collapsed="false" customWidth="true" hidden="false" outlineLevel="0" max="3" min="3" style="0" width="11"/>
    <col collapsed="false" customWidth="true" hidden="false" outlineLevel="0" max="6" min="6" style="0" width="15"/>
    <col collapsed="false" customWidth="true" hidden="false" outlineLevel="0" max="7" min="7" style="0" width="6.66"/>
    <col collapsed="false" customWidth="true" hidden="false" outlineLevel="0" max="9" min="9" style="0" width="5.51"/>
  </cols>
  <sheetData>
    <row r="2" customFormat="false" ht="15.75" hidden="false" customHeight="false" outlineLevel="0" collapsed="false">
      <c r="B2" s="0" t="s">
        <v>7</v>
      </c>
      <c r="C2" s="0" t="s">
        <v>8</v>
      </c>
      <c r="D2" s="29" t="s">
        <v>9</v>
      </c>
      <c r="E2" s="29" t="s">
        <v>10</v>
      </c>
      <c r="F2" s="29" t="s">
        <v>12</v>
      </c>
      <c r="G2" s="29" t="s">
        <v>13</v>
      </c>
      <c r="H2" s="29" t="s">
        <v>14</v>
      </c>
      <c r="I2" s="29" t="s">
        <v>15</v>
      </c>
    </row>
    <row r="3" customFormat="false" ht="15.75" hidden="false" customHeight="false" outlineLevel="0" collapsed="false">
      <c r="B3" s="26" t="n">
        <v>45076</v>
      </c>
      <c r="C3" s="9" t="s">
        <v>85</v>
      </c>
      <c r="D3" s="9" t="s">
        <v>86</v>
      </c>
      <c r="E3" s="9" t="s">
        <v>87</v>
      </c>
      <c r="F3" s="9" t="s">
        <v>20</v>
      </c>
      <c r="G3" s="27" t="n">
        <v>4500</v>
      </c>
      <c r="H3" s="27" t="n">
        <v>598</v>
      </c>
      <c r="I3" s="28" t="n">
        <f aca="false">H3/G3</f>
        <v>0.132888888888889</v>
      </c>
    </row>
    <row r="4" customFormat="false" ht="15.75" hidden="false" customHeight="false" outlineLevel="0" collapsed="false">
      <c r="B4" s="26" t="n">
        <v>45076</v>
      </c>
      <c r="C4" s="9" t="s">
        <v>88</v>
      </c>
      <c r="D4" s="9" t="s">
        <v>89</v>
      </c>
      <c r="E4" s="9" t="s">
        <v>90</v>
      </c>
      <c r="F4" s="9" t="s">
        <v>25</v>
      </c>
      <c r="G4" s="27" t="n">
        <v>3800</v>
      </c>
      <c r="H4" s="27" t="n">
        <v>1045</v>
      </c>
      <c r="I4" s="28" t="n">
        <f aca="false">H4/G4</f>
        <v>0.275</v>
      </c>
    </row>
    <row r="5" customFormat="false" ht="15.75" hidden="false" customHeight="false" outlineLevel="0" collapsed="false">
      <c r="B5" s="26" t="n">
        <v>45076</v>
      </c>
      <c r="C5" s="9" t="s">
        <v>91</v>
      </c>
      <c r="D5" s="9" t="s">
        <v>92</v>
      </c>
      <c r="E5" s="9" t="s">
        <v>90</v>
      </c>
      <c r="G5" s="27" t="n">
        <v>3712.5</v>
      </c>
      <c r="H5" s="27" t="n">
        <v>1009</v>
      </c>
      <c r="I5" s="28" t="n">
        <f aca="false">H5/G5</f>
        <v>0.271784511784512</v>
      </c>
    </row>
    <row r="6" customFormat="false" ht="15.75" hidden="false" customHeight="false" outlineLevel="0" collapsed="false">
      <c r="B6" s="26" t="n">
        <v>45076</v>
      </c>
      <c r="C6" s="9" t="s">
        <v>93</v>
      </c>
      <c r="D6" s="9" t="s">
        <v>30</v>
      </c>
      <c r="E6" s="9" t="s">
        <v>94</v>
      </c>
      <c r="G6" s="27"/>
      <c r="H6" s="27" t="n">
        <v>779</v>
      </c>
      <c r="I6" s="28" t="e">
        <f aca="false">H6/G6</f>
        <v>#DIV/0!</v>
      </c>
    </row>
    <row r="7" customFormat="false" ht="15.75" hidden="false" customHeight="false" outlineLevel="0" collapsed="false">
      <c r="B7" s="26" t="n">
        <v>45076</v>
      </c>
      <c r="C7" s="9" t="s">
        <v>95</v>
      </c>
      <c r="D7" s="9" t="s">
        <v>96</v>
      </c>
      <c r="E7" s="9" t="s">
        <v>94</v>
      </c>
      <c r="F7" s="9" t="s">
        <v>35</v>
      </c>
      <c r="G7" s="27" t="n">
        <v>5000</v>
      </c>
      <c r="H7" s="27" t="n">
        <v>684</v>
      </c>
      <c r="I7" s="28" t="n">
        <f aca="false">H7/G7</f>
        <v>0.1368</v>
      </c>
    </row>
    <row r="8" customFormat="false" ht="51" hidden="false" customHeight="true" outlineLevel="0" collapsed="false">
      <c r="B8" s="26" t="n">
        <v>45077</v>
      </c>
      <c r="C8" s="9" t="s">
        <v>97</v>
      </c>
      <c r="D8" s="9" t="s">
        <v>98</v>
      </c>
      <c r="E8" s="9" t="s">
        <v>87</v>
      </c>
      <c r="F8" s="9" t="s">
        <v>20</v>
      </c>
      <c r="G8" s="27" t="n">
        <v>6100</v>
      </c>
      <c r="H8" s="27" t="n">
        <v>544</v>
      </c>
      <c r="I8" s="28" t="n">
        <f aca="false">H8/G8</f>
        <v>0.0891803278688525</v>
      </c>
    </row>
    <row r="9" customFormat="false" ht="15.75" hidden="false" customHeight="false" outlineLevel="0" collapsed="false">
      <c r="B9" s="26" t="n">
        <v>45077</v>
      </c>
      <c r="C9" s="9" t="s">
        <v>99</v>
      </c>
      <c r="D9" s="9" t="s">
        <v>100</v>
      </c>
      <c r="E9" s="9" t="s">
        <v>87</v>
      </c>
      <c r="F9" s="9" t="s">
        <v>20</v>
      </c>
      <c r="G9" s="27" t="n">
        <v>4625</v>
      </c>
      <c r="H9" s="27" t="n">
        <v>670</v>
      </c>
      <c r="I9" s="28" t="n">
        <f aca="false">H9/G9</f>
        <v>0.144864864864865</v>
      </c>
    </row>
    <row r="10" customFormat="false" ht="15.75" hidden="false" customHeight="false" outlineLevel="0" collapsed="false">
      <c r="B10" s="26" t="n">
        <v>45077</v>
      </c>
      <c r="C10" s="9" t="s">
        <v>101</v>
      </c>
      <c r="D10" s="9" t="s">
        <v>102</v>
      </c>
      <c r="E10" s="9" t="s">
        <v>87</v>
      </c>
      <c r="F10" s="9" t="s">
        <v>20</v>
      </c>
      <c r="G10" s="27" t="n">
        <v>3800</v>
      </c>
      <c r="H10" s="27" t="n">
        <v>2045</v>
      </c>
      <c r="I10" s="28" t="n">
        <f aca="false">H10/G10</f>
        <v>0.538157894736842</v>
      </c>
    </row>
    <row r="11" customFormat="false" ht="15.75" hidden="false" customHeight="false" outlineLevel="0" collapsed="false">
      <c r="B11" s="26" t="n">
        <v>45077</v>
      </c>
      <c r="C11" s="9" t="s">
        <v>103</v>
      </c>
      <c r="D11" s="9" t="s">
        <v>43</v>
      </c>
      <c r="E11" s="9" t="s">
        <v>87</v>
      </c>
      <c r="F11" s="9" t="s">
        <v>44</v>
      </c>
      <c r="G11" s="27" t="n">
        <v>3600</v>
      </c>
      <c r="H11" s="27" t="n">
        <v>1564</v>
      </c>
      <c r="I11" s="28" t="n">
        <f aca="false">H11/G11</f>
        <v>0.434444444444444</v>
      </c>
    </row>
    <row r="12" customFormat="false" ht="43.5" hidden="false" customHeight="true" outlineLevel="0" collapsed="false">
      <c r="B12" s="26" t="n">
        <v>45077</v>
      </c>
      <c r="C12" s="9" t="s">
        <v>104</v>
      </c>
      <c r="D12" s="9" t="s">
        <v>46</v>
      </c>
      <c r="E12" s="9" t="s">
        <v>87</v>
      </c>
      <c r="F12" s="9" t="s">
        <v>35</v>
      </c>
      <c r="G12" s="27" t="n">
        <v>5100</v>
      </c>
      <c r="H12" s="27" t="n">
        <v>1220</v>
      </c>
      <c r="I12" s="28" t="n">
        <f aca="false">H12/G12</f>
        <v>0.23921568627451</v>
      </c>
    </row>
    <row r="13" customFormat="false" ht="15.75" hidden="false" customHeight="false" outlineLevel="0" collapsed="false">
      <c r="B13" s="26" t="n">
        <v>45077</v>
      </c>
      <c r="C13" s="9" t="s">
        <v>105</v>
      </c>
      <c r="D13" s="9" t="s">
        <v>106</v>
      </c>
      <c r="E13" s="9" t="s">
        <v>87</v>
      </c>
      <c r="F13" s="9" t="s">
        <v>35</v>
      </c>
      <c r="G13" s="27" t="n">
        <v>4750</v>
      </c>
      <c r="H13" s="27" t="n">
        <v>1435</v>
      </c>
      <c r="I13" s="28" t="n">
        <f aca="false">H13/G13</f>
        <v>0.302105263157895</v>
      </c>
    </row>
    <row r="14" customFormat="false" ht="15.75" hidden="false" customHeight="false" outlineLevel="0" collapsed="false">
      <c r="B14" s="26" t="n">
        <v>45077</v>
      </c>
      <c r="C14" s="9" t="s">
        <v>107</v>
      </c>
      <c r="D14" s="9" t="s">
        <v>108</v>
      </c>
      <c r="E14" s="9" t="s">
        <v>94</v>
      </c>
      <c r="F14" s="9" t="s">
        <v>20</v>
      </c>
      <c r="G14" s="27" t="n">
        <v>6000</v>
      </c>
      <c r="H14" s="27" t="n">
        <v>998</v>
      </c>
      <c r="I14" s="28" t="n">
        <f aca="false">H14/G14</f>
        <v>0.166333333333333</v>
      </c>
    </row>
    <row r="15" customFormat="false" ht="15.75" hidden="false" customHeight="false" outlineLevel="0" collapsed="false">
      <c r="B15" s="26" t="n">
        <v>45077</v>
      </c>
      <c r="C15" s="9" t="s">
        <v>109</v>
      </c>
      <c r="D15" s="9" t="s">
        <v>110</v>
      </c>
      <c r="E15" s="9" t="s">
        <v>111</v>
      </c>
      <c r="F15" s="9" t="s">
        <v>35</v>
      </c>
      <c r="G15" s="27" t="n">
        <v>4500</v>
      </c>
      <c r="H15" s="27" t="n">
        <v>780</v>
      </c>
      <c r="I15" s="28" t="n">
        <f aca="false">H15/G15</f>
        <v>0.173333333333333</v>
      </c>
    </row>
    <row r="16" customFormat="false" ht="15.75" hidden="false" customHeight="false" outlineLevel="0" collapsed="false">
      <c r="B16" s="26" t="n">
        <v>45078</v>
      </c>
      <c r="C16" s="9" t="s">
        <v>112</v>
      </c>
      <c r="D16" s="9" t="s">
        <v>56</v>
      </c>
      <c r="E16" s="9" t="s">
        <v>111</v>
      </c>
      <c r="F16" s="9" t="s">
        <v>44</v>
      </c>
      <c r="G16" s="27"/>
      <c r="H16" s="27" t="n">
        <v>1044</v>
      </c>
      <c r="I16" s="28" t="e">
        <f aca="false">H16/G16</f>
        <v>#DIV/0!</v>
      </c>
    </row>
    <row r="17" customFormat="false" ht="15.75" hidden="false" customHeight="false" outlineLevel="0" collapsed="false">
      <c r="B17" s="26" t="n">
        <v>45078</v>
      </c>
      <c r="C17" s="9" t="s">
        <v>113</v>
      </c>
      <c r="D17" s="9" t="s">
        <v>114</v>
      </c>
      <c r="E17" s="9" t="s">
        <v>111</v>
      </c>
      <c r="F17" s="9" t="s">
        <v>20</v>
      </c>
      <c r="G17" s="27" t="n">
        <v>3712.5</v>
      </c>
      <c r="H17" s="27" t="n">
        <v>1222</v>
      </c>
      <c r="I17" s="28" t="n">
        <f aca="false">H17/G17</f>
        <v>0.329158249158249</v>
      </c>
    </row>
    <row r="18" customFormat="false" ht="37.5" hidden="false" customHeight="true" outlineLevel="0" collapsed="false">
      <c r="B18" s="26" t="n">
        <v>45078</v>
      </c>
      <c r="C18" s="9" t="s">
        <v>115</v>
      </c>
      <c r="D18" s="9" t="s">
        <v>116</v>
      </c>
      <c r="E18" s="9" t="s">
        <v>111</v>
      </c>
      <c r="F18" s="9" t="s">
        <v>20</v>
      </c>
      <c r="G18" s="27" t="n">
        <v>4950</v>
      </c>
      <c r="H18" s="27" t="n">
        <v>1065</v>
      </c>
      <c r="I18" s="28" t="n">
        <f aca="false">H18/G18</f>
        <v>0.215151515151515</v>
      </c>
    </row>
    <row r="19" customFormat="false" ht="15.75" hidden="false" customHeight="false" outlineLevel="0" collapsed="false">
      <c r="B19" s="26" t="n">
        <v>45078</v>
      </c>
      <c r="C19" s="9" t="s">
        <v>117</v>
      </c>
      <c r="D19" s="9" t="s">
        <v>118</v>
      </c>
      <c r="E19" s="9" t="s">
        <v>94</v>
      </c>
      <c r="F19" s="9" t="s">
        <v>20</v>
      </c>
      <c r="G19" s="27" t="n">
        <v>4750</v>
      </c>
      <c r="H19" s="27" t="n">
        <v>810</v>
      </c>
      <c r="I19" s="28" t="n">
        <f aca="false">H19/G19</f>
        <v>0.170526315789474</v>
      </c>
    </row>
    <row r="20" customFormat="false" ht="12" hidden="false" customHeight="true" outlineLevel="0" collapsed="false">
      <c r="B20" s="26" t="n">
        <v>45078</v>
      </c>
      <c r="C20" s="9" t="s">
        <v>119</v>
      </c>
      <c r="D20" s="9" t="s">
        <v>120</v>
      </c>
      <c r="E20" s="9" t="s">
        <v>94</v>
      </c>
      <c r="F20" s="9" t="s">
        <v>20</v>
      </c>
      <c r="G20" s="27" t="n">
        <v>7320</v>
      </c>
      <c r="H20" s="27" t="n">
        <v>933</v>
      </c>
      <c r="I20" s="28" t="n">
        <f aca="false">H20/G20</f>
        <v>0.127459016393443</v>
      </c>
    </row>
    <row r="21" customFormat="false" ht="15.75" hidden="false" customHeight="false" outlineLevel="0" collapsed="false">
      <c r="B21" s="26" t="n">
        <v>45077</v>
      </c>
      <c r="C21" s="9" t="s">
        <v>107</v>
      </c>
      <c r="D21" s="9" t="s">
        <v>108</v>
      </c>
      <c r="E21" s="9" t="s">
        <v>94</v>
      </c>
      <c r="F21" s="9" t="s">
        <v>20</v>
      </c>
      <c r="G21" s="27" t="n">
        <v>6000</v>
      </c>
      <c r="H21" s="27" t="n">
        <v>998</v>
      </c>
      <c r="I21" s="28" t="n">
        <f aca="false">H21/G21</f>
        <v>0.166333333333333</v>
      </c>
    </row>
    <row r="22" customFormat="false" ht="15.75" hidden="false" customHeight="false" outlineLevel="0" collapsed="false">
      <c r="B22" s="26" t="n">
        <v>45077</v>
      </c>
      <c r="C22" s="9" t="s">
        <v>109</v>
      </c>
      <c r="D22" s="9" t="s">
        <v>110</v>
      </c>
      <c r="E22" s="9" t="s">
        <v>111</v>
      </c>
      <c r="F22" s="9" t="s">
        <v>35</v>
      </c>
      <c r="G22" s="27" t="n">
        <v>4500</v>
      </c>
      <c r="H22" s="27" t="n">
        <v>780</v>
      </c>
      <c r="I22" s="28" t="n">
        <f aca="false">H22/G22</f>
        <v>0.173333333333333</v>
      </c>
    </row>
    <row r="23" customFormat="false" ht="7.5" hidden="false" customHeight="true" outlineLevel="0" collapsed="false">
      <c r="B23" s="26" t="n">
        <v>45078</v>
      </c>
      <c r="C23" s="9" t="s">
        <v>121</v>
      </c>
      <c r="D23" s="9" t="s">
        <v>122</v>
      </c>
      <c r="E23" s="9" t="s">
        <v>111</v>
      </c>
      <c r="F23" s="9" t="s">
        <v>20</v>
      </c>
      <c r="G23" s="27" t="n">
        <v>5087.5</v>
      </c>
      <c r="H23" s="27" t="n">
        <v>655</v>
      </c>
      <c r="I23" s="28" t="n">
        <f aca="false">H23/G23</f>
        <v>0.128746928746929</v>
      </c>
    </row>
    <row r="24" customFormat="false" ht="96" hidden="false" customHeight="true" outlineLevel="0" collapsed="false">
      <c r="B24" s="26" t="n">
        <v>45078</v>
      </c>
      <c r="C24" s="9" t="s">
        <v>123</v>
      </c>
      <c r="D24" s="9" t="s">
        <v>124</v>
      </c>
      <c r="E24" s="9" t="s">
        <v>111</v>
      </c>
      <c r="F24" s="9" t="s">
        <v>20</v>
      </c>
      <c r="G24" s="27" t="n">
        <v>4500</v>
      </c>
      <c r="H24" s="27" t="n">
        <v>722</v>
      </c>
      <c r="I24" s="28" t="n">
        <f aca="false">H24/G24</f>
        <v>0.160444444444444</v>
      </c>
    </row>
    <row r="25" customFormat="false" ht="15.75" hidden="false" customHeight="false" outlineLevel="0" collapsed="false">
      <c r="B25" s="26" t="n">
        <v>45078</v>
      </c>
      <c r="C25" s="9" t="s">
        <v>125</v>
      </c>
      <c r="D25" s="9" t="s">
        <v>126</v>
      </c>
      <c r="E25" s="9" t="s">
        <v>111</v>
      </c>
      <c r="F25" s="9" t="s">
        <v>44</v>
      </c>
      <c r="G25" s="27" t="n">
        <v>4250</v>
      </c>
      <c r="H25" s="27" t="n">
        <v>901</v>
      </c>
      <c r="I25" s="28" t="n">
        <f aca="false">H25/G25</f>
        <v>0.212</v>
      </c>
    </row>
    <row r="26" customFormat="false" ht="15.75" hidden="false" customHeight="false" outlineLevel="0" collapsed="false">
      <c r="B26" s="26" t="n">
        <v>45079</v>
      </c>
      <c r="C26" s="9" t="s">
        <v>127</v>
      </c>
      <c r="D26" s="9" t="s">
        <v>128</v>
      </c>
      <c r="E26" s="9" t="s">
        <v>111</v>
      </c>
      <c r="F26" s="9" t="s">
        <v>25</v>
      </c>
      <c r="G26" s="27" t="n">
        <v>5250</v>
      </c>
      <c r="H26" s="27" t="n">
        <v>1349</v>
      </c>
      <c r="I26" s="28" t="n">
        <f aca="false">H26/G26</f>
        <v>0.256952380952381</v>
      </c>
    </row>
    <row r="27" customFormat="false" ht="15.75" hidden="false" customHeight="false" outlineLevel="0" collapsed="false">
      <c r="B27" s="26" t="n">
        <v>45079</v>
      </c>
      <c r="C27" s="9" t="s">
        <v>129</v>
      </c>
      <c r="D27" s="9" t="s">
        <v>130</v>
      </c>
      <c r="E27" s="9" t="s">
        <v>90</v>
      </c>
      <c r="F27" s="9" t="s">
        <v>25</v>
      </c>
      <c r="G27" s="27" t="n">
        <v>6500</v>
      </c>
      <c r="H27" s="27" t="n">
        <v>1288</v>
      </c>
      <c r="I27" s="28" t="n">
        <f aca="false">H27/G27</f>
        <v>0.198153846153846</v>
      </c>
    </row>
    <row r="28" customFormat="false" ht="15.75" hidden="false" customHeight="false" outlineLevel="0" collapsed="false">
      <c r="B28" s="26" t="n">
        <v>45079</v>
      </c>
      <c r="C28" s="9" t="s">
        <v>131</v>
      </c>
      <c r="D28" s="9" t="s">
        <v>132</v>
      </c>
      <c r="E28" s="9" t="s">
        <v>90</v>
      </c>
      <c r="F28" s="9" t="s">
        <v>25</v>
      </c>
      <c r="G28" s="27" t="n">
        <v>7500</v>
      </c>
      <c r="H28" s="27" t="n">
        <v>1664</v>
      </c>
      <c r="I28" s="28" t="n">
        <f aca="false">H28/G28</f>
        <v>0.221866666666667</v>
      </c>
    </row>
    <row r="29" customFormat="false" ht="15.75" hidden="false" customHeight="false" outlineLevel="0" collapsed="false">
      <c r="B29" s="26" t="n">
        <v>45079</v>
      </c>
      <c r="C29" s="9" t="s">
        <v>133</v>
      </c>
      <c r="D29" s="9" t="s">
        <v>134</v>
      </c>
      <c r="E29" s="9" t="s">
        <v>90</v>
      </c>
      <c r="F29" s="9" t="s">
        <v>20</v>
      </c>
      <c r="G29" s="27" t="n">
        <v>5500</v>
      </c>
      <c r="H29" s="27" t="n">
        <v>1320</v>
      </c>
      <c r="I29" s="28" t="n">
        <f aca="false">H29/G29</f>
        <v>0.24</v>
      </c>
    </row>
    <row r="30" customFormat="false" ht="15.75" hidden="false" customHeight="false" outlineLevel="0" collapsed="false">
      <c r="B30" s="26" t="n">
        <v>45079</v>
      </c>
      <c r="C30" s="9" t="s">
        <v>135</v>
      </c>
      <c r="D30" s="9" t="s">
        <v>136</v>
      </c>
      <c r="E30" s="9" t="s">
        <v>90</v>
      </c>
      <c r="F30" s="9" t="s">
        <v>20</v>
      </c>
      <c r="G30" s="27" t="n">
        <v>4625</v>
      </c>
      <c r="H30" s="27" t="n">
        <v>1001</v>
      </c>
      <c r="I30" s="28" t="n">
        <f aca="false">H30/G30</f>
        <v>0.216432432432432</v>
      </c>
    </row>
    <row r="31" customFormat="false" ht="15.75" hidden="false" customHeight="false" outlineLevel="0" collapsed="false">
      <c r="B31" s="26" t="n">
        <v>45079</v>
      </c>
      <c r="C31" s="9" t="s">
        <v>137</v>
      </c>
      <c r="D31" s="9" t="s">
        <v>138</v>
      </c>
      <c r="E31" s="9" t="s">
        <v>90</v>
      </c>
      <c r="F31" s="9" t="s">
        <v>20</v>
      </c>
      <c r="G31" s="27" t="n">
        <v>4500</v>
      </c>
      <c r="H31" s="27" t="n">
        <v>960</v>
      </c>
      <c r="I31" s="28" t="n">
        <f aca="false">H31/G31</f>
        <v>0.213333333333333</v>
      </c>
    </row>
    <row r="32" customFormat="false" ht="15.75" hidden="false" customHeight="false" outlineLevel="0" collapsed="false">
      <c r="B32" s="26" t="n">
        <v>45079</v>
      </c>
      <c r="C32" s="9" t="s">
        <v>139</v>
      </c>
      <c r="D32" s="9" t="s">
        <v>84</v>
      </c>
      <c r="E32" s="9" t="s">
        <v>90</v>
      </c>
      <c r="F32" s="9" t="s">
        <v>44</v>
      </c>
      <c r="G32" s="27" t="n">
        <v>5400</v>
      </c>
      <c r="H32" s="27" t="n">
        <v>540</v>
      </c>
      <c r="I32" s="28" t="n">
        <f aca="false">H32/G32</f>
        <v>0.1</v>
      </c>
    </row>
    <row r="33" customFormat="false" ht="15.75" hidden="false" customHeight="false" outlineLevel="0" collapsed="false">
      <c r="B33" s="26" t="n">
        <v>45076</v>
      </c>
      <c r="C33" s="9" t="s">
        <v>95</v>
      </c>
      <c r="D33" s="9" t="s">
        <v>96</v>
      </c>
      <c r="E33" s="9" t="s">
        <v>94</v>
      </c>
      <c r="F33" s="9" t="s">
        <v>35</v>
      </c>
      <c r="G33" s="27" t="n">
        <v>5000</v>
      </c>
      <c r="H33" s="27" t="n">
        <v>684</v>
      </c>
      <c r="I33" s="28" t="n">
        <f aca="false">H33/G33</f>
        <v>0.1368</v>
      </c>
    </row>
    <row r="34" customFormat="false" ht="15.75" hidden="false" customHeight="false" outlineLevel="0" collapsed="false">
      <c r="G34" s="27"/>
    </row>
    <row r="35" customFormat="false" ht="15.75" hidden="false" customHeight="false" outlineLevel="0" collapsed="false">
      <c r="G35" s="27"/>
    </row>
    <row r="36" customFormat="false" ht="15.75" hidden="false" customHeight="false" outlineLevel="0" collapsed="false">
      <c r="G36" s="27"/>
    </row>
    <row r="37" customFormat="false" ht="15.75" hidden="false" customHeight="false" outlineLevel="0" collapsed="false">
      <c r="G37" s="27"/>
    </row>
    <row r="38" customFormat="false" ht="15.75" hidden="false" customHeight="false" outlineLevel="0" collapsed="false">
      <c r="G38" s="27"/>
    </row>
    <row r="39" customFormat="false" ht="15.75" hidden="false" customHeight="false" outlineLevel="0" collapsed="false">
      <c r="G39" s="27"/>
    </row>
    <row r="40" customFormat="false" ht="15.75" hidden="false" customHeight="false" outlineLevel="0" collapsed="false">
      <c r="G40" s="27"/>
    </row>
    <row r="41" customFormat="false" ht="15.75" hidden="false" customHeight="false" outlineLevel="0" collapsed="false">
      <c r="G41" s="27"/>
    </row>
    <row r="42" customFormat="false" ht="15.75" hidden="false" customHeight="false" outlineLevel="0" collapsed="false">
      <c r="G42" s="27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2023-05-29T07:26:35Z</dcterms:created>
  <dc:creator>Microsoft Office User</dc:creator>
  <dc:description/>
  <dc:language>en-US</dc:language>
  <cp:lastModifiedBy>Microsoft Office User</cp:lastModifiedBy>
  <dcterms:modified xsi:type="dcterms:W3CDTF">2026-10-25T09:55:34Z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